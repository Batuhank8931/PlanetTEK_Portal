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800" yWindow="-2040" windowWidth="38400" windowHeight="21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\ &quot; €&quot;"/>
    <numFmt numFmtId="165" formatCode="#,##0.00&quot; €&quot;"/>
    <numFmt numFmtId="166" formatCode="0&quot;%&quot;"/>
  </numFmts>
  <fonts count="12">
    <font>
      <name val="Calibri"/>
      <family val="2"/>
      <color theme="1"/>
      <sz val="12"/>
      <scheme val="minor"/>
    </font>
    <font>
      <name val="Calibri"/>
      <charset val="162"/>
      <family val="2"/>
      <b val="1"/>
      <color theme="1"/>
      <sz val="8"/>
      <scheme val="minor"/>
    </font>
    <font>
      <name val="Calibri"/>
      <charset val="162"/>
      <family val="2"/>
      <b val="1"/>
      <color theme="1"/>
      <sz val="9"/>
      <scheme val="minor"/>
    </font>
    <font>
      <name val="Calibri"/>
      <family val="2"/>
      <b val="1"/>
      <i val="1"/>
      <sz val="8"/>
    </font>
    <font>
      <name val="Calibri"/>
      <family val="2"/>
      <b val="1"/>
      <sz val="8"/>
    </font>
    <font>
      <name val="Calibri"/>
      <family val="2"/>
      <i val="1"/>
      <sz val="8"/>
    </font>
    <font>
      <name val="Calibri"/>
      <family val="2"/>
      <sz val="8"/>
    </font>
    <font>
      <name val="Calibri"/>
      <b val="1"/>
      <sz val="9"/>
    </font>
    <font>
      <name val="Calibri"/>
      <b val="1"/>
      <i val="1"/>
      <sz val="8"/>
    </font>
    <font>
      <name val="Calibri"/>
      <b val="1"/>
      <sz val="8"/>
    </font>
    <font>
      <name val="Calibri"/>
      <i val="1"/>
      <sz val="8"/>
    </font>
    <font>
      <name val="Calibri"/>
      <sz val="8"/>
    </font>
  </fonts>
  <fills count="11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A6A6A6"/>
        <bgColor rgb="FFA6A6A6"/>
      </patternFill>
    </fill>
    <fill>
      <patternFill patternType="solid">
        <fgColor rgb="FFC0C0C0"/>
        <bgColor rgb="FFC0C0C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00A6A6A6"/>
        <bgColor rgb="00A6A6A6"/>
      </patternFill>
    </fill>
    <fill>
      <patternFill patternType="solid">
        <fgColor rgb="00C0C0C0"/>
        <bgColor rgb="00C0C0C0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</fills>
  <borders count="21">
    <border>
      <left/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/>
      <top style="thin">
        <color rgb="00D3D3D3"/>
      </top>
      <bottom style="thin">
        <color rgb="00D3D3D3"/>
      </bottom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  <border>
      <left style="thin">
        <color rgb="00D3D3D3"/>
      </left>
      <right/>
      <top/>
      <bottom/>
      <diagonal/>
    </border>
    <border>
      <left/>
      <right style="thin">
        <color rgb="00D3D3D3"/>
      </right>
      <top/>
      <bottom/>
      <diagonal/>
    </border>
    <border>
      <left style="thin">
        <color rgb="00D3D3D3"/>
      </left>
      <right/>
      <top/>
      <bottom style="thin">
        <color rgb="00D3D3D3"/>
      </bottom>
      <diagonal/>
    </border>
    <border>
      <left/>
      <right/>
      <top/>
      <bottom style="thin">
        <color rgb="00D3D3D3"/>
      </bottom>
      <diagonal/>
    </border>
    <border>
      <left/>
      <right style="thin">
        <color rgb="00D3D3D3"/>
      </right>
      <top/>
      <bottom style="thin">
        <color rgb="00D3D3D3"/>
      </bottom>
      <diagonal/>
    </border>
    <border>
      <left style="thin">
        <color rgb="00D3D3D3"/>
      </left>
      <right style="thin">
        <color rgb="00D3D3D3"/>
      </right>
      <top/>
      <bottom style="thin">
        <color rgb="00D3D3D3"/>
      </bottom>
      <diagonal/>
    </border>
    <border>
      <left style="thin">
        <color rgb="00D3D3D3"/>
      </left>
      <right style="thin">
        <color rgb="00D3D3D3"/>
      </right>
      <top/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4" applyAlignment="1" pivotButton="0" quotePrefix="0" xfId="0">
      <alignment horizontal="right" vertical="center" wrapText="1"/>
    </xf>
    <xf numFmtId="0" fontId="2" fillId="2" borderId="5" applyAlignment="1" pivotButton="0" quotePrefix="0" xfId="0">
      <alignment horizontal="left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164" fontId="2" fillId="2" borderId="6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left" vertical="center" wrapText="1"/>
    </xf>
    <xf numFmtId="0" fontId="0" fillId="0" borderId="7" pivotButton="0" quotePrefix="0" xfId="0"/>
    <xf numFmtId="0" fontId="3" fillId="3" borderId="8" applyAlignment="1" pivotButton="0" quotePrefix="0" xfId="0">
      <alignment horizontal="center" wrapText="1"/>
    </xf>
    <xf numFmtId="0" fontId="3" fillId="3" borderId="8" applyAlignment="1" pivotButton="0" quotePrefix="0" xfId="0">
      <alignment horizontal="left" wrapText="1"/>
    </xf>
    <xf numFmtId="0" fontId="4" fillId="4" borderId="8" applyAlignment="1" pivotButton="0" quotePrefix="0" xfId="0">
      <alignment horizontal="center" wrapText="1"/>
    </xf>
    <xf numFmtId="0" fontId="4" fillId="4" borderId="8" applyAlignment="1" pivotButton="0" quotePrefix="0" xfId="0">
      <alignment horizontal="left" wrapText="1"/>
    </xf>
    <xf numFmtId="0" fontId="5" fillId="5" borderId="8" applyAlignment="1" pivotButton="0" quotePrefix="0" xfId="0">
      <alignment horizontal="center" wrapText="1"/>
    </xf>
    <xf numFmtId="0" fontId="5" fillId="5" borderId="8" applyAlignment="1" pivotButton="0" quotePrefix="0" xfId="0">
      <alignment horizontal="left" wrapText="1"/>
    </xf>
    <xf numFmtId="0" fontId="6" fillId="6" borderId="8" applyAlignment="1" pivotButton="0" quotePrefix="0" xfId="0">
      <alignment horizontal="center"/>
    </xf>
    <xf numFmtId="0" fontId="6" fillId="6" borderId="8" applyAlignment="1" pivotButton="0" quotePrefix="0" xfId="0">
      <alignment horizontal="left" wrapText="1"/>
    </xf>
    <xf numFmtId="3" fontId="6" fillId="6" borderId="8" applyAlignment="1" pivotButton="0" quotePrefix="0" xfId="0">
      <alignment horizontal="center"/>
    </xf>
    <xf numFmtId="165" fontId="6" fillId="6" borderId="8" applyAlignment="1" pivotButton="0" quotePrefix="0" xfId="0">
      <alignment horizontal="right"/>
    </xf>
    <xf numFmtId="166" fontId="6" fillId="6" borderId="8" applyAlignment="1" pivotButton="0" quotePrefix="0" xfId="0">
      <alignment horizontal="right"/>
    </xf>
    <xf numFmtId="0" fontId="7" fillId="0" borderId="0" applyAlignment="1" pivotButton="0" quotePrefix="0" xfId="0">
      <alignment horizontal="center" vertical="center"/>
    </xf>
    <xf numFmtId="0" fontId="8" fillId="7" borderId="9" applyAlignment="1" pivotButton="0" quotePrefix="0" xfId="0">
      <alignment horizontal="center" wrapText="1"/>
    </xf>
    <xf numFmtId="0" fontId="8" fillId="7" borderId="9" applyAlignment="1" pivotButton="0" quotePrefix="0" xfId="0">
      <alignment horizontal="left" wrapText="1"/>
    </xf>
    <xf numFmtId="0" fontId="9" fillId="8" borderId="9" applyAlignment="1" pivotButton="0" quotePrefix="0" xfId="0">
      <alignment horizontal="center" wrapText="1"/>
    </xf>
    <xf numFmtId="0" fontId="9" fillId="8" borderId="9" applyAlignment="1" pivotButton="0" quotePrefix="0" xfId="0">
      <alignment horizontal="left" wrapText="1"/>
    </xf>
    <xf numFmtId="0" fontId="10" fillId="9" borderId="9" applyAlignment="1" pivotButton="0" quotePrefix="0" xfId="0">
      <alignment horizontal="center" wrapText="1"/>
    </xf>
    <xf numFmtId="0" fontId="10" fillId="9" borderId="9" applyAlignment="1" pivotButton="0" quotePrefix="0" xfId="0">
      <alignment horizontal="left" wrapText="1"/>
    </xf>
    <xf numFmtId="0" fontId="11" fillId="10" borderId="9" applyAlignment="1" pivotButton="0" quotePrefix="0" xfId="0">
      <alignment horizontal="center"/>
    </xf>
    <xf numFmtId="0" fontId="11" fillId="10" borderId="9" applyAlignment="1" pivotButton="0" quotePrefix="0" xfId="0">
      <alignment horizontal="left" wrapText="1"/>
    </xf>
    <xf numFmtId="3" fontId="11" fillId="10" borderId="9" applyAlignment="1" pivotButton="0" quotePrefix="0" xfId="0">
      <alignment horizontal="center"/>
    </xf>
    <xf numFmtId="165" fontId="11" fillId="10" borderId="9" applyAlignment="1" pivotButton="0" quotePrefix="0" xfId="0">
      <alignment horizontal="right"/>
    </xf>
    <xf numFmtId="166" fontId="11" fillId="10" borderId="9" applyAlignment="1" pivotButton="0" quotePrefix="0" xfId="0">
      <alignment horizontal="right"/>
    </xf>
    <xf numFmtId="0" fontId="8" fillId="7" borderId="9" applyAlignment="1" pivotButton="0" quotePrefix="0" xfId="0">
      <alignment horizontal="center" vertical="center" wrapText="1"/>
    </xf>
    <xf numFmtId="0" fontId="8" fillId="7" borderId="9" applyAlignment="1" pivotButton="0" quotePrefix="0" xfId="0">
      <alignment horizontal="left" vertical="center" wrapText="1"/>
    </xf>
    <xf numFmtId="0" fontId="9" fillId="8" borderId="9" applyAlignment="1" pivotButton="0" quotePrefix="0" xfId="0">
      <alignment horizontal="center" vertical="center" wrapText="1"/>
    </xf>
    <xf numFmtId="0" fontId="9" fillId="8" borderId="9" applyAlignment="1" pivotButton="0" quotePrefix="0" xfId="0">
      <alignment horizontal="left" vertical="center" wrapText="1"/>
    </xf>
    <xf numFmtId="0" fontId="10" fillId="9" borderId="9" applyAlignment="1" pivotButton="0" quotePrefix="0" xfId="0">
      <alignment horizontal="center" vertical="center" wrapText="1"/>
    </xf>
    <xf numFmtId="0" fontId="10" fillId="9" borderId="9" applyAlignment="1" pivotButton="0" quotePrefix="0" xfId="0">
      <alignment horizontal="left" vertical="center" wrapText="1"/>
    </xf>
    <xf numFmtId="0" fontId="11" fillId="10" borderId="9" applyAlignment="1" pivotButton="0" quotePrefix="0" xfId="0">
      <alignment horizontal="center" vertical="center"/>
    </xf>
    <xf numFmtId="0" fontId="11" fillId="10" borderId="9" applyAlignment="1" pivotButton="0" quotePrefix="0" xfId="0">
      <alignment horizontal="left" vertical="center" wrapText="1"/>
    </xf>
    <xf numFmtId="3" fontId="11" fillId="10" borderId="9" applyAlignment="1" pivotButton="0" quotePrefix="0" xfId="0">
      <alignment horizontal="center" vertical="center"/>
    </xf>
    <xf numFmtId="165" fontId="11" fillId="10" borderId="9" applyAlignment="1" pivotButton="0" quotePrefix="0" xfId="0">
      <alignment horizontal="right" vertical="center"/>
    </xf>
    <xf numFmtId="166" fontId="11" fillId="10" borderId="9" applyAlignment="1" pivotButton="0" quotePrefix="0" xfId="0">
      <alignment horizontal="right" vertical="center"/>
    </xf>
    <xf numFmtId="0" fontId="11" fillId="10" borderId="9" pivotButton="0" quotePrefix="0" xfId="0"/>
    <xf numFmtId="0" fontId="11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</cellXfs>
  <cellStyles count="1">
    <cellStyle name="Normal" xfId="0" builtinId="0"/>
  </cellStyles>
  <dxfs count="1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tabSelected="1" zoomScale="116" zoomScaleNormal="157" workbookViewId="0">
      <selection activeCell="J11" sqref="J11"/>
    </sheetView>
  </sheetViews>
  <sheetFormatPr baseColWidth="10" defaultRowHeight="16"/>
  <cols>
    <col width="11" bestFit="1" customWidth="1" min="1" max="1"/>
    <col width="50" bestFit="1" customWidth="1" min="2" max="2"/>
    <col width="11" bestFit="1" customWidth="1" min="3" max="3"/>
    <col width="53" bestFit="1" customWidth="1" min="4" max="4"/>
    <col width="14" bestFit="1" customWidth="1" min="5" max="5"/>
    <col width="16" bestFit="1" customWidth="1" min="6" max="6"/>
    <col width="29" bestFit="1" customWidth="1" min="7" max="7"/>
  </cols>
  <sheetData>
    <row r="1" ht="28" customHeight="1" thickBot="1">
      <c r="A1" s="22" t="inlineStr">
        <is>
          <t>No</t>
        </is>
      </c>
      <c r="B1" s="22" t="inlineStr">
        <is>
          <t>Description</t>
        </is>
      </c>
      <c r="C1" s="22" t="inlineStr">
        <is>
          <t>Piece</t>
        </is>
      </c>
      <c r="D1" s="22" t="inlineStr">
        <is>
          <t>Unit Price</t>
        </is>
      </c>
      <c r="E1" s="22" t="inlineStr">
        <is>
          <t>Total Price</t>
        </is>
      </c>
      <c r="F1" s="22" t="inlineStr">
        <is>
          <t>Discount Rate</t>
        </is>
      </c>
      <c r="G1" s="22" t="inlineStr">
        <is>
          <t>Total Price After Discount</t>
        </is>
      </c>
    </row>
    <row r="2" ht="18" customHeight="1" thickTop="1">
      <c r="A2" s="34" t="inlineStr">
        <is>
          <t>1.</t>
        </is>
      </c>
      <c r="B2" s="35" t="inlineStr">
        <is>
          <t>MEKANİK EKİPMANLAR</t>
        </is>
      </c>
      <c r="C2" s="35" t="n"/>
      <c r="D2" s="35" t="n"/>
      <c r="E2" s="35" t="n"/>
      <c r="F2" s="35" t="n"/>
      <c r="G2" s="35" t="n"/>
    </row>
    <row r="3" ht="18" customHeight="1">
      <c r="A3" s="36" t="inlineStr">
        <is>
          <t>1.1.</t>
        </is>
      </c>
      <c r="B3" s="37" t="inlineStr">
        <is>
          <t>Fiziksel Arıtma Üniteleri (Birincil Arıtma)</t>
        </is>
      </c>
      <c r="C3" s="37" t="n"/>
      <c r="D3" s="37" t="n"/>
      <c r="E3" s="37" t="n"/>
      <c r="F3" s="37" t="n"/>
      <c r="G3" s="37" t="n"/>
    </row>
    <row r="4" ht="18" customHeight="1">
      <c r="A4" s="38" t="inlineStr">
        <is>
          <t>1.1.1.</t>
        </is>
      </c>
      <c r="B4" s="39" t="inlineStr">
        <is>
          <t>Kaba ve İnce Izgara Seçenekleri</t>
        </is>
      </c>
      <c r="C4" s="39" t="n"/>
      <c r="D4" s="39" t="n"/>
      <c r="E4" s="39" t="n"/>
      <c r="F4" s="39" t="n"/>
      <c r="G4" s="39" t="n"/>
    </row>
    <row r="5" ht="18" customHeight="1">
      <c r="A5" s="40" t="inlineStr">
        <is>
          <t>1.1.1.1.</t>
        </is>
      </c>
      <c r="B5" s="41" t="inlineStr">
        <is>
          <t>Elle Temizlemeli Kaba Izgara</t>
        </is>
      </c>
      <c r="C5" s="42" t="n">
        <v>1</v>
      </c>
      <c r="D5" s="43" t="n">
        <v>999</v>
      </c>
      <c r="E5" s="43">
        <f>C5*D5</f>
        <v/>
      </c>
      <c r="F5" s="44" t="n">
        <v>0.12</v>
      </c>
      <c r="G5" s="40" t="inlineStr">
        <is>
          <t>Yerinde Tedarik</t>
        </is>
      </c>
    </row>
    <row r="6" ht="18" customHeight="1">
      <c r="A6" s="40" t="inlineStr">
        <is>
          <t>1.1.1.2.</t>
        </is>
      </c>
      <c r="B6" s="41" t="inlineStr">
        <is>
          <t>Elle Temizlemeli İnce Izgara</t>
        </is>
      </c>
      <c r="C6" s="42" t="n">
        <v>1</v>
      </c>
      <c r="D6" s="43" t="n">
        <v>910</v>
      </c>
      <c r="E6" s="43">
        <f>C6*D6</f>
        <v/>
      </c>
      <c r="F6" s="44" t="n">
        <v>0.12</v>
      </c>
      <c r="G6" s="43">
        <f>E6*(1-F6)</f>
        <v/>
      </c>
    </row>
    <row r="7" ht="18" customHeight="1">
      <c r="A7" s="40" t="inlineStr">
        <is>
          <t>1.2.</t>
        </is>
      </c>
      <c r="B7" s="41" t="inlineStr">
        <is>
          <t>Kum-Yağ Tutucu Plakaları (Boyut: 1000 x 1000 mm)</t>
        </is>
      </c>
      <c r="C7" s="42" t="n">
        <v>4</v>
      </c>
      <c r="D7" s="43" t="n">
        <v>108</v>
      </c>
      <c r="E7" s="43">
        <f>C7*D7</f>
        <v/>
      </c>
      <c r="F7" s="44" t="n">
        <v>0.12</v>
      </c>
      <c r="G7" s="43">
        <f>E7*(1-F7)</f>
        <v/>
      </c>
    </row>
    <row r="8" ht="18" customHeight="1">
      <c r="A8" s="40" t="inlineStr">
        <is>
          <t>1.3.</t>
        </is>
      </c>
      <c r="B8" s="41" t="inlineStr">
        <is>
          <t>Terfi Pompası (1 asil + 1 yedek) - City Pumps Ranger 10 35</t>
        </is>
      </c>
      <c r="C8" s="42" t="n">
        <v>2</v>
      </c>
      <c r="D8" s="43" t="n">
        <v>493.68</v>
      </c>
      <c r="E8" s="43">
        <f>C8*D8</f>
        <v/>
      </c>
      <c r="F8" s="44" t="n">
        <v>0.12</v>
      </c>
      <c r="G8" s="43">
        <f>E8*(1-F8)</f>
        <v/>
      </c>
    </row>
    <row r="9" ht="18" customHeight="1">
      <c r="A9" s="36" t="inlineStr">
        <is>
          <t>1.4.</t>
        </is>
      </c>
      <c r="B9" s="37" t="inlineStr">
        <is>
          <t>Biyolojik Arıtma Üniteleri (İkincil Arıtma)</t>
        </is>
      </c>
      <c r="C9" s="37" t="n"/>
      <c r="D9" s="37" t="n"/>
      <c r="E9" s="37" t="n"/>
      <c r="F9" s="37" t="n"/>
      <c r="G9" s="37" t="n"/>
    </row>
    <row r="10" ht="62.5" customHeight="1">
      <c r="A10" s="40" t="inlineStr">
        <is>
          <t>1.5.</t>
        </is>
      </c>
      <c r="B10" s="41" t="inlineStr">
        <is>
          <t>PlanetDISK® MX 1 DBD Ünitesi;
- Epoksi Boyalı AISI 1045 (C45) Karbon Çelik Dolu Mil,
- Islak Parçalar SS304 Paslanmaz ve Galvaniz Kaplı Çelik,
- Mil Başına 109 disk / ünite ,
- Disk Yüzey Alanı 719.40 m² / ünite</t>
        </is>
      </c>
      <c r="C10" s="42" t="n">
        <v>1</v>
      </c>
      <c r="D10" s="43" t="n">
        <v>29625</v>
      </c>
      <c r="E10" s="43">
        <f>C10*D10</f>
        <v/>
      </c>
      <c r="F10" s="44" t="n">
        <v>0.2</v>
      </c>
      <c r="G10" s="43">
        <f>E10*(1-F10)</f>
        <v/>
      </c>
    </row>
    <row r="11" ht="18" customHeight="1">
      <c r="A11" s="40" t="inlineStr">
        <is>
          <t>1.6.</t>
        </is>
      </c>
      <c r="B11" s="41" t="inlineStr">
        <is>
          <t>LS_15 Lamella Seperatör Son Çöktürme Tankı</t>
        </is>
      </c>
      <c r="C11" s="42" t="n">
        <v>1</v>
      </c>
      <c r="D11" s="43" t="n">
        <v>6570</v>
      </c>
      <c r="E11" s="43">
        <f>C11*D11</f>
        <v/>
      </c>
      <c r="F11" s="44" t="n">
        <v>0.2</v>
      </c>
      <c r="G11" s="43">
        <f>E11*(1-F11)</f>
        <v/>
      </c>
    </row>
    <row r="12" ht="18" customHeight="1">
      <c r="A12" s="40" t="inlineStr">
        <is>
          <t>1.7.</t>
        </is>
      </c>
      <c r="B12" s="41" t="inlineStr">
        <is>
          <t>smt 100A Son Çöktürme Tankı Çamur Pompası</t>
        </is>
      </c>
      <c r="C12" s="42" t="n">
        <v>1</v>
      </c>
      <c r="D12" s="43" t="n">
        <v>360.36</v>
      </c>
      <c r="E12" s="43">
        <f>C12*D12</f>
        <v/>
      </c>
      <c r="F12" s="44" t="n">
        <v>0.12</v>
      </c>
      <c r="G12" s="43">
        <f>E12*(1-F12)</f>
        <v/>
      </c>
    </row>
    <row r="13" ht="18" customHeight="1">
      <c r="A13" s="34" t="inlineStr">
        <is>
          <t>2.</t>
        </is>
      </c>
      <c r="B13" s="35" t="inlineStr">
        <is>
          <t>İNŞAAT İŞLERİ</t>
        </is>
      </c>
      <c r="C13" s="35" t="n"/>
      <c r="D13" s="35" t="n"/>
      <c r="E13" s="35" t="n"/>
      <c r="F13" s="35" t="n"/>
      <c r="G13" s="35" t="n"/>
    </row>
    <row r="14" ht="18" customHeight="1" thickBot="1">
      <c r="A14" s="40" t="inlineStr">
        <is>
          <t>2.1.</t>
        </is>
      </c>
      <c r="B14" s="41" t="inlineStr">
        <is>
          <t>Izgara ve Kum-Yağ Tutucu Kanalı</t>
        </is>
      </c>
      <c r="C14" s="40" t="n">
        <v>1</v>
      </c>
      <c r="D14" s="46" t="inlineStr">
        <is>
          <t>TÜM İNŞAAT İŞLERİ İŞVEREN TARAFINDAN YAPILACAKTIR.</t>
        </is>
      </c>
      <c r="E14" s="47" t="n"/>
      <c r="F14" s="47" t="n"/>
      <c r="G14" s="48" t="n"/>
    </row>
    <row r="15" ht="18" customHeight="1" thickBot="1" thickTop="1">
      <c r="A15" s="40" t="inlineStr">
        <is>
          <t>2.2.</t>
        </is>
      </c>
      <c r="B15" s="41" t="inlineStr">
        <is>
          <t>Birinci Ön Çöktürme Tankı</t>
        </is>
      </c>
      <c r="C15" s="40" t="n">
        <v>1</v>
      </c>
      <c r="D15" s="49" t="n"/>
      <c r="G15" s="50" t="n"/>
    </row>
    <row r="16" ht="18" customHeight="1" thickTop="1">
      <c r="A16" s="40" t="inlineStr">
        <is>
          <t>2.3.</t>
        </is>
      </c>
      <c r="B16" s="41" t="inlineStr">
        <is>
          <t>İkinci Ön Çöktürme Tankı</t>
        </is>
      </c>
      <c r="C16" s="40" t="n">
        <v>1</v>
      </c>
      <c r="D16" s="49" t="n"/>
      <c r="G16" s="50" t="n"/>
    </row>
    <row r="17" ht="18" customHeight="1">
      <c r="A17" s="40" t="inlineStr">
        <is>
          <t>2.4.</t>
        </is>
      </c>
      <c r="B17" s="41" t="inlineStr">
        <is>
          <t>Dengeleme Tankı</t>
        </is>
      </c>
      <c r="C17" s="40" t="n">
        <v>1</v>
      </c>
      <c r="D17" s="51" t="n"/>
      <c r="E17" s="52" t="n"/>
      <c r="F17" s="52" t="n"/>
      <c r="G17" s="53" t="n"/>
    </row>
    <row r="18" ht="18" customHeight="1">
      <c r="A18" s="34" t="inlineStr">
        <is>
          <t>3.</t>
        </is>
      </c>
      <c r="B18" s="35" t="inlineStr">
        <is>
          <t>MONTAJ EKİPMANLARI</t>
        </is>
      </c>
      <c r="C18" s="35" t="n"/>
      <c r="D18" s="35" t="n"/>
      <c r="E18" s="35" t="n"/>
      <c r="F18" s="35" t="n"/>
      <c r="G18" s="35" t="n"/>
    </row>
    <row r="19" ht="18" customHeight="1">
      <c r="A19" s="40" t="inlineStr">
        <is>
          <t>3.1.</t>
        </is>
      </c>
      <c r="B19" s="41" t="inlineStr">
        <is>
          <t>Bütün borulama ve elektrik tesisatı</t>
        </is>
      </c>
      <c r="C19" s="42" t="n">
        <v>1</v>
      </c>
      <c r="D19" s="43" t="n">
        <v>3626</v>
      </c>
      <c r="E19" s="43">
        <f>C19*D19</f>
        <v/>
      </c>
      <c r="F19" s="44" t="n">
        <v>0.12</v>
      </c>
      <c r="G19" s="43">
        <f>E19*(1-F19)</f>
        <v/>
      </c>
    </row>
    <row r="20" ht="18" customHeight="1">
      <c r="A20" s="34" t="inlineStr">
        <is>
          <t>4.</t>
        </is>
      </c>
      <c r="B20" s="35" t="inlineStr">
        <is>
          <t>ELEKTRİK İŞLERİ</t>
        </is>
      </c>
      <c r="C20" s="35" t="n"/>
      <c r="D20" s="35" t="n"/>
      <c r="E20" s="35" t="n"/>
      <c r="F20" s="35" t="n"/>
      <c r="G20" s="35" t="n"/>
    </row>
    <row r="21" ht="18" customHeight="1">
      <c r="A21" s="40" t="inlineStr">
        <is>
          <t>4.1.</t>
        </is>
      </c>
      <c r="B21" s="41" t="inlineStr">
        <is>
          <t>PlanetDISK® Kontrol Panosu</t>
        </is>
      </c>
      <c r="C21" s="42" t="n">
        <v>1</v>
      </c>
      <c r="D21" s="43" t="n">
        <v>4897</v>
      </c>
      <c r="E21" s="43">
        <f>C21*D21</f>
        <v/>
      </c>
      <c r="F21" s="44" t="n">
        <v>0.12</v>
      </c>
      <c r="G21" s="43">
        <f>E21*(1-F21)</f>
        <v/>
      </c>
    </row>
    <row r="22" ht="18" customHeight="1">
      <c r="A22" s="34" t="inlineStr">
        <is>
          <t>5.</t>
        </is>
      </c>
      <c r="B22" s="35" t="inlineStr">
        <is>
          <t>NAKLİYE</t>
        </is>
      </c>
      <c r="C22" s="35" t="n"/>
      <c r="D22" s="35" t="n"/>
      <c r="E22" s="35" t="n"/>
      <c r="F22" s="35" t="n"/>
      <c r="G22" s="35" t="n"/>
    </row>
    <row r="23" ht="18" customHeight="1">
      <c r="A23" s="40" t="inlineStr">
        <is>
          <t>5.1.</t>
        </is>
      </c>
      <c r="B23" s="41" t="inlineStr">
        <is>
          <t>40' HC konteyner</t>
        </is>
      </c>
      <c r="C23" s="42" t="n">
        <v>1</v>
      </c>
      <c r="D23" s="43" t="n">
        <v>13027</v>
      </c>
      <c r="E23" s="43">
        <f>C23*D23</f>
        <v/>
      </c>
      <c r="F23" s="44" t="n">
        <v>0</v>
      </c>
      <c r="G23" s="43" t="n">
        <v>13027</v>
      </c>
    </row>
    <row r="24" ht="18" customHeight="1">
      <c r="A24" s="40" t="inlineStr">
        <is>
          <t>5.2.</t>
        </is>
      </c>
      <c r="B24" s="41" t="inlineStr">
        <is>
          <t>Tır</t>
        </is>
      </c>
      <c r="C24" s="42" t="n">
        <v>1</v>
      </c>
      <c r="D24" s="43" t="n">
        <v>0</v>
      </c>
      <c r="E24" s="43">
        <f>C24*D24</f>
        <v/>
      </c>
      <c r="F24" s="44" t="n">
        <v>0</v>
      </c>
      <c r="G24" s="43" t="n">
        <v>0</v>
      </c>
    </row>
    <row r="25" ht="18" customHeight="1">
      <c r="A25" s="34" t="inlineStr">
        <is>
          <t>6.</t>
        </is>
      </c>
      <c r="B25" s="35" t="inlineStr">
        <is>
          <t>PROJE, MONTAJ, DEVREYE ALMA, EĞİTİM VE MÜHENDİSLİK</t>
        </is>
      </c>
      <c r="C25" s="35" t="n"/>
      <c r="D25" s="35" t="n"/>
      <c r="E25" s="35" t="n"/>
      <c r="F25" s="35" t="n"/>
      <c r="G25" s="35" t="n"/>
    </row>
    <row r="26" ht="18" customHeight="1">
      <c r="A26" s="40" t="inlineStr">
        <is>
          <t>6.1.</t>
        </is>
      </c>
      <c r="B26" s="41" t="inlineStr">
        <is>
          <t>Mühendislik Hizmetleri Genel Paketi</t>
        </is>
      </c>
      <c r="C26" s="42" t="n">
        <v>1</v>
      </c>
      <c r="D26" s="43" t="n">
        <v>1800</v>
      </c>
      <c r="E26" s="43">
        <f>C26*D26</f>
        <v/>
      </c>
      <c r="F26" s="44" t="n">
        <v>0.12</v>
      </c>
      <c r="G26" s="43">
        <f>E26*(1-F26)</f>
        <v/>
      </c>
    </row>
    <row r="27" ht="18" customHeight="1">
      <c r="A27" s="34" t="inlineStr">
        <is>
          <t>7.</t>
        </is>
      </c>
      <c r="B27" s="35" t="inlineStr">
        <is>
          <t>POD HAZIRLANMASI VE ONAYININ ALINMASI-HARÇLAR HARIÇ</t>
        </is>
      </c>
      <c r="C27" s="35" t="n"/>
      <c r="D27" s="35" t="n"/>
      <c r="E27" s="35" t="n"/>
      <c r="F27" s="35" t="n"/>
      <c r="G27" s="35" t="n"/>
    </row>
    <row r="28" ht="18" customHeight="1">
      <c r="A28" s="40" t="inlineStr">
        <is>
          <t>7.1.</t>
        </is>
      </c>
      <c r="B28" s="41" t="inlineStr">
        <is>
          <t>Resmi Onay Süreçleri Yönetimi</t>
        </is>
      </c>
      <c r="C28" s="42" t="n">
        <v>1</v>
      </c>
      <c r="D28" s="43" t="n">
        <v>2300</v>
      </c>
      <c r="E28" s="43">
        <f>C28*D28</f>
        <v/>
      </c>
      <c r="F28" s="44" t="n">
        <v>0</v>
      </c>
      <c r="G28" s="43">
        <f>E28*(1-F28)</f>
        <v/>
      </c>
    </row>
  </sheetData>
  <mergeCells count="5">
    <mergeCell ref="D14:G17"/>
    <mergeCell ref="D17:G17"/>
    <mergeCell ref="D16:G16"/>
    <mergeCell ref="D15:G15"/>
    <mergeCell ref="D14:G14"/>
  </mergeCells>
  <conditionalFormatting sqref="A1:G3 A4:B8">
    <cfRule type="expression" priority="1" dxfId="0">
      <formula>0</formula>
    </cfRule>
  </conditionalFormatting>
  <conditionalFormatting sqref="A10:B12">
    <cfRule type="expression" priority="63" dxfId="0">
      <formula>0</formula>
    </cfRule>
  </conditionalFormatting>
  <conditionalFormatting sqref="A9:G9">
    <cfRule type="expression" priority="68" dxfId="0">
      <formula>0</formula>
    </cfRule>
  </conditionalFormatting>
  <conditionalFormatting sqref="A13:G13 A14:B14">
    <cfRule type="expression" priority="65" dxfId="0">
      <formula>0</formula>
    </cfRule>
  </conditionalFormatting>
  <conditionalFormatting sqref="C6:G6">
    <cfRule type="expression" priority="46" dxfId="0">
      <formula>0</formula>
    </cfRule>
  </conditionalFormatting>
  <conditionalFormatting sqref="F4:G5">
    <cfRule type="expression" priority="12" dxfId="0">
      <formula>0</formula>
    </cfRule>
  </conditionalFormatting>
  <conditionalFormatting sqref="F7:G8">
    <cfRule type="expression" priority="7" dxfId="0">
      <formula>0</formula>
    </cfRule>
  </conditionalFormatting>
  <conditionalFormatting sqref="F10:G12">
    <cfRule type="expression" priority="6" dxfId="0">
      <formula>0</formula>
    </cfRule>
  </conditionalFormatting>
  <conditionalFormatting sqref="F14:G14">
    <cfRule type="expression" priority="5" dxfId="0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2026-06-29T10:53:24Z</dcterms:created>
  <dcterms:modified xmlns:dcterms="http://purl.org/dc/terms/" xmlns:xsi="http://www.w3.org/2001/XMLSchema-instance" xsi:type="dcterms:W3CDTF">2026-06-29T20:21:50Z</dcterms:modified>
  <cp:lastModifiedBy>batuhan karakaya</cp:lastModifiedBy>
</cp:coreProperties>
</file>