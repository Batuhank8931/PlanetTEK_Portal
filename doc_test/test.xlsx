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tuhan/Desktop/planetttek - Kopya/Portal/doc_test/"/>
    </mc:Choice>
  </mc:AlternateContent>
  <xr:revisionPtr revIDLastSave="0" documentId="13_ncr:1_{9E99ECA0-A8D8-274B-9003-6809F044B6DC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G30" i="2" s="1"/>
  <c r="E29" i="2"/>
  <c r="G29" i="2" s="1"/>
  <c r="E28" i="2"/>
  <c r="E25" i="2"/>
  <c r="G25" i="2" s="1"/>
  <c r="E44" i="2"/>
  <c r="G44" i="2" s="1"/>
  <c r="E22" i="2"/>
  <c r="G22" i="2" s="1"/>
  <c r="B13" i="2"/>
  <c r="E12" i="2"/>
  <c r="G12" i="2" s="1"/>
  <c r="E9" i="2"/>
  <c r="G9" i="2" s="1"/>
  <c r="E8" i="2"/>
  <c r="A3" i="2"/>
  <c r="F2" i="2"/>
  <c r="A2" i="2"/>
  <c r="E23" i="2" l="1"/>
  <c r="G23" i="2" s="1"/>
  <c r="G8" i="2"/>
  <c r="G56" i="2" l="1"/>
  <c r="E55" i="2"/>
  <c r="G55" i="2" s="1"/>
</calcChain>
</file>

<file path=xl/sharedStrings.xml><?xml version="1.0" encoding="utf-8"?>
<sst xmlns="http://schemas.openxmlformats.org/spreadsheetml/2006/main" count="160" uniqueCount="120">
  <si>
    <t>CAPEX</t>
  </si>
  <si>
    <t>No</t>
  </si>
  <si>
    <t>Description</t>
  </si>
  <si>
    <t>Piece</t>
  </si>
  <si>
    <t>Unit Price</t>
  </si>
  <si>
    <t>Total Price</t>
  </si>
  <si>
    <t>Discount rate</t>
  </si>
  <si>
    <t>Total Price after Discount</t>
  </si>
  <si>
    <t>1.</t>
  </si>
  <si>
    <t>MECHANICAL EQUIPMENT</t>
  </si>
  <si>
    <t>1.1.</t>
  </si>
  <si>
    <t>Physical Treatment Unit</t>
  </si>
  <si>
    <t>1.1.1.</t>
  </si>
  <si>
    <t>Coarse and Fine Screen</t>
  </si>
  <si>
    <t>1.1.1.1.</t>
  </si>
  <si>
    <t>Manually Cleaned Coarse Screen</t>
  </si>
  <si>
    <t>1.1.1.2.</t>
  </si>
  <si>
    <t>Manually Cleaned Fine Screen</t>
  </si>
  <si>
    <t>Automatically Cleaned Coarse Screen</t>
  </si>
  <si>
    <t>Optional</t>
  </si>
  <si>
    <t>Automatically Cleaned Fine Screen</t>
  </si>
  <si>
    <t>1.1.2.</t>
  </si>
  <si>
    <t>Grit And Grease Trap Plate</t>
  </si>
  <si>
    <t>1.1.3.</t>
  </si>
  <si>
    <t>Supply Locally</t>
  </si>
  <si>
    <t>1.1.4.</t>
  </si>
  <si>
    <t>Flow Divider</t>
  </si>
  <si>
    <t>1.1.5.</t>
  </si>
  <si>
    <t>Penstock</t>
  </si>
  <si>
    <t>1.1.6.</t>
  </si>
  <si>
    <t>Jib Crane</t>
  </si>
  <si>
    <t>Aeration or Mixing System for Equalization Tank</t>
  </si>
  <si>
    <t>1.1.7.</t>
  </si>
  <si>
    <t>Pre-Sedimentation Basin Scraper</t>
  </si>
  <si>
    <t>1.1.8.</t>
  </si>
  <si>
    <t>Grit and Grease Removal Bridge</t>
  </si>
  <si>
    <t>1.1.9.</t>
  </si>
  <si>
    <t>Oil &amp; Grit &amp; Sludge Pumps</t>
  </si>
  <si>
    <t>1.2.</t>
  </si>
  <si>
    <t>Biological Treatment Unit</t>
  </si>
  <si>
    <t>1.2.1.</t>
  </si>
  <si>
    <t>1.2.2.</t>
  </si>
  <si>
    <t>Modification of RBCs for Industrial Wastewater</t>
  </si>
  <si>
    <t>1.2.3.</t>
  </si>
  <si>
    <t>1.2.4.</t>
  </si>
  <si>
    <t>Final Sedimentation Sludge Pump</t>
  </si>
  <si>
    <t>1.2.5.</t>
  </si>
  <si>
    <t>1.2.6.</t>
  </si>
  <si>
    <t>Denitrification Tank Mixer</t>
  </si>
  <si>
    <t>1.2.7.</t>
  </si>
  <si>
    <t>FeCl3 Coagulant Dosing System</t>
  </si>
  <si>
    <t>Planet Membrane System (Including all equipments and instruments)</t>
  </si>
  <si>
    <t>2.</t>
  </si>
  <si>
    <t>CIVIL WORKS</t>
  </si>
  <si>
    <t>2.1.</t>
  </si>
  <si>
    <t>Screen and Grit-Grease Channel</t>
  </si>
  <si>
    <t>ALL CIVIL WORKS WILL BE DONE BY CLIENT</t>
  </si>
  <si>
    <t>2.2.</t>
  </si>
  <si>
    <t>Anoxic Denitrification Tank</t>
  </si>
  <si>
    <t>2.3.</t>
  </si>
  <si>
    <r>
      <t>1</t>
    </r>
    <r>
      <rPr>
        <vertAlign val="superscript"/>
        <sz val="9"/>
        <color theme="1"/>
        <rFont val="Calibri"/>
        <family val="2"/>
        <charset val="162"/>
        <scheme val="minor"/>
      </rPr>
      <t>st</t>
    </r>
    <r>
      <rPr>
        <sz val="9"/>
        <color theme="1"/>
        <rFont val="Calibri"/>
        <family val="2"/>
        <charset val="162"/>
        <scheme val="minor"/>
      </rPr>
      <t xml:space="preserve"> Sedimentation Tank</t>
    </r>
  </si>
  <si>
    <t>2.4.</t>
  </si>
  <si>
    <r>
      <t>2</t>
    </r>
    <r>
      <rPr>
        <vertAlign val="superscript"/>
        <sz val="9"/>
        <color theme="1"/>
        <rFont val="Calibri"/>
        <family val="2"/>
        <charset val="162"/>
        <scheme val="minor"/>
      </rPr>
      <t>nd</t>
    </r>
    <r>
      <rPr>
        <sz val="9"/>
        <color theme="1"/>
        <rFont val="Calibri"/>
        <family val="2"/>
        <charset val="162"/>
        <scheme val="minor"/>
      </rPr>
      <t xml:space="preserve"> Sedimentation Tank</t>
    </r>
  </si>
  <si>
    <t>2.5.</t>
  </si>
  <si>
    <t>Equalization Tank</t>
  </si>
  <si>
    <t>2.6.</t>
  </si>
  <si>
    <t>Treated Water Tank</t>
  </si>
  <si>
    <t>2.7.</t>
  </si>
  <si>
    <t>Filtered Water Tank</t>
  </si>
  <si>
    <t>2.8.</t>
  </si>
  <si>
    <t>Membrane Tank</t>
  </si>
  <si>
    <t>2.9.</t>
  </si>
  <si>
    <t>Sludge Storage Tank (Optional)</t>
  </si>
  <si>
    <t>3.</t>
  </si>
  <si>
    <t>INSTALLATION EQUIPMENTS</t>
  </si>
  <si>
    <t>3.1.</t>
  </si>
  <si>
    <t>All piping and cabling materials</t>
  </si>
  <si>
    <t>4.</t>
  </si>
  <si>
    <t>ELECTRICAL WORKS</t>
  </si>
  <si>
    <t>4.1.</t>
  </si>
  <si>
    <t>PlanetDISK® Control Panel</t>
  </si>
  <si>
    <t>4.2.</t>
  </si>
  <si>
    <t>SCADA System (Remote Monitoring and Control)</t>
  </si>
  <si>
    <t>5.</t>
  </si>
  <si>
    <t>SHIPMENT</t>
  </si>
  <si>
    <t xml:space="preserve"> </t>
  </si>
  <si>
    <t>5.1.</t>
  </si>
  <si>
    <t xml:space="preserve">40 HC Container </t>
  </si>
  <si>
    <t>Only for Information</t>
  </si>
  <si>
    <t>5.2.</t>
  </si>
  <si>
    <t xml:space="preserve">20 DC Container </t>
  </si>
  <si>
    <t>6.</t>
  </si>
  <si>
    <t>POWER SUPPLY</t>
  </si>
  <si>
    <t>6.1.</t>
  </si>
  <si>
    <t>Power Generator</t>
  </si>
  <si>
    <t>WILL BE PROVIDED BY CLIENT. IT IS MUST TERM FOR WARRANTY CONDITIONS START.</t>
  </si>
  <si>
    <t>6.2.</t>
  </si>
  <si>
    <t>Voltage Regulator</t>
  </si>
  <si>
    <t>7.</t>
  </si>
  <si>
    <t>PROJECT and ENGINEERING</t>
  </si>
  <si>
    <t>-</t>
  </si>
  <si>
    <t>Included</t>
  </si>
  <si>
    <t>8.</t>
  </si>
  <si>
    <t>INSTALLATION</t>
  </si>
  <si>
    <r>
      <t>7% of Total Price</t>
    </r>
    <r>
      <rPr>
        <u/>
        <sz val="9"/>
        <color theme="1"/>
        <rFont val="Calibri"/>
        <family val="2"/>
        <charset val="162"/>
        <scheme val="minor"/>
      </rPr>
      <t xml:space="preserve"> (Visa, Flight Tickets, Accommodation and Local Food Expenses are excluded)</t>
    </r>
    <r>
      <rPr>
        <sz val="9"/>
        <color theme="1"/>
        <rFont val="Calibri"/>
        <family val="2"/>
        <charset val="162"/>
        <scheme val="minor"/>
      </rPr>
      <t xml:space="preserve"> </t>
    </r>
    <r>
      <rPr>
        <i/>
        <sz val="9"/>
        <color theme="1"/>
        <rFont val="Calibri"/>
        <family val="2"/>
        <charset val="162"/>
        <scheme val="minor"/>
      </rPr>
      <t>*Installation can be made easily with the help of supervisor or installation instructions or online directions.</t>
    </r>
  </si>
  <si>
    <t>9.</t>
  </si>
  <si>
    <t>COMMISSIONING and TRAINING</t>
  </si>
  <si>
    <t>Will be discussed later</t>
  </si>
  <si>
    <t>TOTAL</t>
  </si>
  <si>
    <t>Total Discount</t>
  </si>
  <si>
    <t>*Optional and Supply Locally equipment are not included in the total price.</t>
  </si>
  <si>
    <t>Grand Total Discounted Price</t>
  </si>
  <si>
    <t>* V.A.T. , All Other Expenses and Taxes are EXCLUDED</t>
  </si>
  <si>
    <t>* EXWORKS PlanetTEK Kocaeli Gebze Factory</t>
  </si>
  <si>
    <t>* Validity : 30 days</t>
  </si>
  <si>
    <r>
      <rPr>
        <b/>
        <sz val="8"/>
        <color theme="1"/>
        <rFont val="Calibri"/>
        <family val="2"/>
        <charset val="162"/>
        <scheme val="minor"/>
      </rPr>
      <t>Supply locally :</t>
    </r>
    <r>
      <rPr>
        <sz val="8"/>
        <color theme="1"/>
        <rFont val="Calibri"/>
        <family val="2"/>
        <charset val="162"/>
        <scheme val="minor"/>
      </rPr>
      <t xml:space="preserve"> equipment should be obtained locally for better warranty conditions. </t>
    </r>
  </si>
  <si>
    <t>PlanetDISK® MX 1 RBC Unit (Without Lid) ;
·Epoxy Painted AISI 1045 (C45) Carbon Steel Solid Shaft
· AISI 304 Stainless Steel Rods&amp;Bolts and Galvanized Cage
· 0 m² Disk Surface /  Ünite</t>
  </si>
  <si>
    <t>PlanetDISK® MX 1 RBC Unit Lid</t>
  </si>
  <si>
    <t>LS 45 Lamella Seperator Final Sedimentation Tank</t>
  </si>
  <si>
    <t>Recirculation Pump (0 master + 0 stand 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</si>
</sst>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\ [$€-407]"/>
    <numFmt numFmtId="165" formatCode="#,##0\ &quot; €&quot;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color theme="1"/>
      <name val="Calibri"/>
      <family val="2"/>
      <charset val="162"/>
      <scheme val="minor"/>
    </font>
    <font>
      <b/>
      <i/>
      <sz val="8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vertAlign val="superscript"/>
      <sz val="9"/>
      <color theme="1"/>
      <name val="Calibri"/>
      <family val="2"/>
      <charset val="162"/>
      <scheme val="minor"/>
    </font>
    <font>
      <u/>
      <sz val="9"/>
      <color theme="1"/>
      <name val="Calibri"/>
      <family val="2"/>
      <charset val="162"/>
      <scheme val="minor"/>
    </font>
    <font>
      <i/>
      <sz val="9"/>
      <color theme="1"/>
      <name val="Calibri"/>
      <family val="2"/>
      <charset val="162"/>
      <scheme val="minor"/>
    </font>
    <font>
      <b/>
      <i/>
      <sz val="9"/>
      <name val="Calibri"/>
      <family val="2"/>
      <charset val="162"/>
      <scheme val="minor"/>
    </font>
    <font>
      <sz val="9"/>
      <color rgb="FF00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right" vertical="center" wrapText="1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43" fontId="7" fillId="4" borderId="0" xfId="1" applyFont="1" applyFill="1" applyBorder="1" applyAlignment="1">
      <alignment horizontal="center" vertical="center" wrapText="1"/>
    </xf>
    <xf numFmtId="43" fontId="7" fillId="4" borderId="11" xfId="1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9" fontId="6" fillId="0" borderId="0" xfId="2" applyFont="1" applyFill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164" fontId="7" fillId="4" borderId="0" xfId="1" applyNumberFormat="1" applyFont="1" applyFill="1" applyBorder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164" fontId="7" fillId="4" borderId="11" xfId="1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8" fillId="0" borderId="10" xfId="0" applyFont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3" fontId="7" fillId="3" borderId="0" xfId="1" applyNumberFormat="1" applyFont="1" applyFill="1" applyBorder="1" applyAlignment="1">
      <alignment horizontal="center" vertical="center" wrapText="1"/>
    </xf>
    <xf numFmtId="3" fontId="7" fillId="3" borderId="11" xfId="0" applyNumberFormat="1" applyFont="1" applyFill="1" applyBorder="1" applyAlignment="1">
      <alignment horizontal="center" vertical="center" wrapText="1"/>
    </xf>
    <xf numFmtId="164" fontId="7" fillId="0" borderId="0" xfId="1" applyNumberFormat="1" applyFont="1" applyBorder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164" fontId="7" fillId="6" borderId="0" xfId="1" applyNumberFormat="1" applyFont="1" applyFill="1" applyBorder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righ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165" fontId="6" fillId="2" borderId="22" xfId="0" applyNumberFormat="1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164" fontId="10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" fontId="15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7" borderId="0" xfId="0" applyFont="1" applyFill="1" applyAlignment="1">
      <alignment horizontal="left" vertical="center" wrapText="1"/>
    </xf>
    <xf numFmtId="1" fontId="15" fillId="7" borderId="0" xfId="0" applyNumberFormat="1" applyFont="1" applyFill="1" applyAlignment="1">
      <alignment horizontal="center" vertical="center" wrapText="1"/>
    </xf>
    <xf numFmtId="164" fontId="15" fillId="7" borderId="0" xfId="0" applyNumberFormat="1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164" fontId="15" fillId="8" borderId="0" xfId="0" applyNumberFormat="1" applyFont="1" applyFill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5" fillId="7" borderId="0" xfId="1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165" fontId="6" fillId="2" borderId="8" xfId="0" applyNumberFormat="1" applyFont="1" applyFill="1" applyBorder="1" applyAlignment="1">
      <alignment horizontal="center" vertical="center" wrapText="1"/>
    </xf>
    <xf numFmtId="165" fontId="6" fillId="2" borderId="9" xfId="0" applyNumberFormat="1" applyFont="1" applyFill="1" applyBorder="1" applyAlignment="1">
      <alignment horizontal="center" vertical="center" wrapText="1"/>
    </xf>
    <xf numFmtId="165" fontId="6" fillId="2" borderId="12" xfId="0" applyNumberFormat="1" applyFont="1" applyFill="1" applyBorder="1" applyAlignment="1">
      <alignment horizontal="center" vertical="center" wrapText="1"/>
    </xf>
    <xf numFmtId="165" fontId="6" fillId="2" borderId="13" xfId="0" applyNumberFormat="1" applyFont="1" applyFill="1" applyBorder="1" applyAlignment="1">
      <alignment horizontal="center" vertical="center" wrapText="1"/>
    </xf>
    <xf numFmtId="165" fontId="6" fillId="2" borderId="14" xfId="0" applyNumberFormat="1" applyFont="1" applyFill="1" applyBorder="1" applyAlignment="1">
      <alignment horizontal="center" vertical="center" wrapText="1"/>
    </xf>
    <xf numFmtId="165" fontId="6" fillId="2" borderId="23" xfId="0" applyNumberFormat="1" applyFont="1" applyFill="1" applyBorder="1" applyAlignment="1">
      <alignment horizontal="center" vertical="center" wrapText="1"/>
    </xf>
    <xf numFmtId="165" fontId="6" fillId="2" borderId="24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0" xfId="0" quotePrefix="1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164" fontId="7" fillId="0" borderId="20" xfId="0" applyNumberFormat="1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 wrapText="1"/>
    </xf>
    <xf numFmtId="164" fontId="7" fillId="0" borderId="27" xfId="1" applyNumberFormat="1" applyFont="1" applyBorder="1" applyAlignment="1">
      <alignment horizontal="center" vertical="center" wrapText="1"/>
    </xf>
    <xf numFmtId="164" fontId="7" fillId="0" borderId="13" xfId="1" applyNumberFormat="1" applyFont="1" applyBorder="1" applyAlignment="1">
      <alignment horizontal="center" vertical="center" wrapText="1"/>
    </xf>
    <xf numFmtId="164" fontId="7" fillId="0" borderId="14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colors>
    <mruColors>
      <color rgb="FFCBD7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ign%20Tables%20-%20Project%20Name%20-%2005.01.2026-BB.xlsm" TargetMode="External"/><Relationship Id="rId2" Type="http://schemas.openxmlformats.org/officeDocument/2006/relationships/externalLinkPath" Target="/Users/batuhan/Desktop/planetttek%20-%20Kopya/Design%20Tables%20-%20Project%20Name%20-%2005.01.2026-BB.xlsm" TargetMode="External"/><Relationship Id="rId1" Type="http://schemas.openxmlformats.org/officeDocument/2006/relationships/externalLinkPath" Target="/Users/batuhan/Desktop/planetttek%20-%20Kopya/Design%20Tables%20-%20Project%20Name%20-%2005.01.2026-B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ARIM SAYFASI"/>
      <sheetName val="KAPAK TABLOLARI"/>
      <sheetName val="PARAMETRE TABLOSU"/>
      <sheetName val="CAPEX"/>
      <sheetName val="OPEX"/>
      <sheetName val="ENERJİ İŞLETME GİDERLERİ"/>
      <sheetName val="SARF MALZEME"/>
      <sheetName val="ENERJİ KARIŞALTIRMA"/>
      <sheetName val="KARBONAYAKİZİ"/>
      <sheetName val="10 YILLIK"/>
      <sheetName val="AMORTİSMAN"/>
      <sheetName val="BİLGİ SAYFASI"/>
      <sheetName val="ÖZET TABLOSU"/>
      <sheetName val="EKİPMAN TABLOSU"/>
      <sheetName val="MONTAJ MALİYETİ TUR"/>
      <sheetName val="YEDEK PARÇA"/>
      <sheetName val="REVİZYON NOTLARI"/>
      <sheetName val="PLANETTEK-FİYAT"/>
      <sheetName val="HARİCİ FİYATLAR"/>
      <sheetName val="GÜNCEL KUR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>İSKİ</v>
          </cell>
        </row>
      </sheetData>
      <sheetData sheetId="12">
        <row r="2">
          <cell r="F2" t="str">
            <v>2026 / 3500</v>
          </cell>
        </row>
        <row r="3">
          <cell r="F3" t="str">
            <v>YDD R0 01 01 2026 8 MX 1 70 25 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AF31-E3BB-4D4B-A14E-15E02567BD50}">
  <dimension ref="A1:G61"/>
  <sheetViews>
    <sheetView tabSelected="1" topLeftCell="A25" workbookViewId="0">
      <selection activeCell="L34" sqref="L34"/>
    </sheetView>
  </sheetViews>
  <sheetFormatPr baseColWidth="10" defaultRowHeight="16" x14ac:dyDescent="0.2"/>
  <cols>
    <col min="2" max="2" width="38.5" customWidth="1"/>
  </cols>
  <sheetData>
    <row r="1" spans="1:7" ht="17" thickTop="1" x14ac:dyDescent="0.2">
      <c r="A1" s="88" t="s">
        <v>0</v>
      </c>
      <c r="B1" s="89"/>
      <c r="C1" s="89"/>
      <c r="D1" s="89"/>
      <c r="E1" s="89"/>
      <c r="F1" s="89"/>
      <c r="G1" s="90"/>
    </row>
    <row r="2" spans="1:7" ht="16" customHeight="1" x14ac:dyDescent="0.2">
      <c r="A2" s="91" t="str">
        <f>'[1]BİLGİ SAYFASI'!B2</f>
        <v>İSKİ</v>
      </c>
      <c r="B2" s="92"/>
      <c r="C2" s="92"/>
      <c r="D2" s="92"/>
      <c r="E2" s="92"/>
      <c r="F2" s="93" t="str">
        <f>"Offer Number: "&amp;'[1]ÖZET TABLOSU'!F2</f>
        <v>Offer Number: 2026 / 3500</v>
      </c>
      <c r="G2" s="94"/>
    </row>
    <row r="3" spans="1:7" ht="17" customHeight="1" thickBot="1" x14ac:dyDescent="0.25">
      <c r="A3" s="95" t="str">
        <f xml:space="preserve"> "Offer Reference Number : "&amp;'[1]ÖZET TABLOSU'!F3</f>
        <v>Offer Reference Number : YDD R0 01 01 2026 8 MX 1 70 25 0</v>
      </c>
      <c r="B3" s="96"/>
      <c r="C3" s="1"/>
      <c r="D3" s="1"/>
      <c r="E3" s="1"/>
      <c r="F3" s="1"/>
      <c r="G3" s="2"/>
    </row>
    <row r="4" spans="1:7" ht="28" thickTop="1" thickBot="1" x14ac:dyDescent="0.25">
      <c r="A4" s="3" t="s">
        <v>1</v>
      </c>
      <c r="B4" s="4" t="s">
        <v>2</v>
      </c>
      <c r="C4" s="5" t="s">
        <v>3</v>
      </c>
      <c r="D4" s="6" t="s">
        <v>4</v>
      </c>
      <c r="E4" s="7" t="s">
        <v>5</v>
      </c>
      <c r="F4" s="7" t="s">
        <v>6</v>
      </c>
      <c r="G4" s="8" t="s">
        <v>7</v>
      </c>
    </row>
    <row r="5" spans="1:7" ht="17" thickTop="1" x14ac:dyDescent="0.2">
      <c r="A5" s="9" t="s">
        <v>8</v>
      </c>
      <c r="B5" s="10" t="s">
        <v>9</v>
      </c>
      <c r="C5" s="11"/>
      <c r="D5" s="12"/>
      <c r="E5" s="12"/>
      <c r="F5" s="12"/>
      <c r="G5" s="13"/>
    </row>
    <row r="6" spans="1:7" x14ac:dyDescent="0.2">
      <c r="A6" s="14" t="s">
        <v>10</v>
      </c>
      <c r="B6" s="15" t="s">
        <v>11</v>
      </c>
      <c r="C6" s="16"/>
      <c r="D6" s="17"/>
      <c r="E6" s="16"/>
      <c r="F6" s="17"/>
      <c r="G6" s="18"/>
    </row>
    <row r="7" spans="1:7" x14ac:dyDescent="0.2">
      <c r="A7" s="19" t="s">
        <v>12</v>
      </c>
      <c r="B7" s="20" t="s">
        <v>13</v>
      </c>
      <c r="C7" s="21"/>
      <c r="D7" s="22"/>
      <c r="E7" s="22"/>
      <c r="F7" s="22"/>
      <c r="G7" s="23"/>
    </row>
    <row r="8" spans="1:7" x14ac:dyDescent="0.2">
      <c r="A8" s="19" t="s">
        <v>14</v>
      </c>
      <c r="B8" s="20" t="s">
        <v>15</v>
      </c>
      <c r="C8" s="21">
        <v>1</v>
      </c>
      <c r="D8" s="22">
        <v>912</v>
      </c>
      <c r="E8" s="22">
        <f>D8*C8</f>
        <v>912</v>
      </c>
      <c r="F8" s="24">
        <v>0.08</v>
      </c>
      <c r="G8" s="25">
        <f>E8-((F8)*E8)</f>
        <v>839.04</v>
      </c>
    </row>
    <row r="9" spans="1:7" x14ac:dyDescent="0.2">
      <c r="A9" s="19" t="s">
        <v>16</v>
      </c>
      <c r="B9" s="20" t="s">
        <v>17</v>
      </c>
      <c r="C9" s="21">
        <v>1</v>
      </c>
      <c r="D9" s="22">
        <v>957.6</v>
      </c>
      <c r="E9" s="22">
        <f>D9*C9</f>
        <v>957.6</v>
      </c>
      <c r="F9" s="24">
        <v>0.08</v>
      </c>
      <c r="G9" s="25">
        <f t="shared" ref="G9:G12" si="0">E9-((F9)*E9)</f>
        <v>880.99199999999996</v>
      </c>
    </row>
    <row r="10" spans="1:7" x14ac:dyDescent="0.2">
      <c r="A10" s="19" t="s">
        <v>14</v>
      </c>
      <c r="B10" s="26" t="s">
        <v>18</v>
      </c>
      <c r="C10" s="27">
        <v>1</v>
      </c>
      <c r="D10" s="28">
        <v>16916.04</v>
      </c>
      <c r="E10" s="29" t="s">
        <v>19</v>
      </c>
      <c r="F10" s="24">
        <v>0.08</v>
      </c>
      <c r="G10" s="30" t="s">
        <v>19</v>
      </c>
    </row>
    <row r="11" spans="1:7" x14ac:dyDescent="0.2">
      <c r="A11" s="19" t="s">
        <v>16</v>
      </c>
      <c r="B11" s="26" t="s">
        <v>20</v>
      </c>
      <c r="C11" s="27">
        <v>1</v>
      </c>
      <c r="D11" s="28">
        <v>17592.6816</v>
      </c>
      <c r="E11" s="29" t="s">
        <v>19</v>
      </c>
      <c r="F11" s="24">
        <v>0.08</v>
      </c>
      <c r="G11" s="30" t="s">
        <v>19</v>
      </c>
    </row>
    <row r="12" spans="1:7" x14ac:dyDescent="0.2">
      <c r="A12" s="19" t="s">
        <v>21</v>
      </c>
      <c r="B12" s="31" t="s">
        <v>22</v>
      </c>
      <c r="C12" s="21">
        <v>4</v>
      </c>
      <c r="D12" s="22">
        <v>126</v>
      </c>
      <c r="E12" s="22">
        <f>D12*C12</f>
        <v>504</v>
      </c>
      <c r="F12" s="24">
        <v>0.08</v>
      </c>
      <c r="G12" s="25">
        <f t="shared" si="0"/>
        <v>463.68</v>
      </c>
    </row>
    <row r="13" spans="1:7" x14ac:dyDescent="0.2">
      <c r="A13" s="19" t="s">
        <v>23</v>
      </c>
      <c r="B13" s="31" t="str">
        <f>"Lifting Pump ("&amp;(C13/2)&amp;" master + "&amp;(C13/2)&amp;" stand by)"</f>
        <v>Lifting Pump (1 master + 1 stand by)</v>
      </c>
      <c r="C13" s="21">
        <v>2</v>
      </c>
      <c r="D13" s="22">
        <v>1084.5999999999999</v>
      </c>
      <c r="E13" s="29" t="s">
        <v>24</v>
      </c>
      <c r="F13" s="24">
        <v>0.08</v>
      </c>
      <c r="G13" s="30" t="s">
        <v>24</v>
      </c>
    </row>
    <row r="14" spans="1:7" x14ac:dyDescent="0.2">
      <c r="A14" s="19" t="s">
        <v>25</v>
      </c>
      <c r="B14" s="32" t="s">
        <v>26</v>
      </c>
      <c r="C14" s="27">
        <v>1</v>
      </c>
      <c r="D14" s="33">
        <v>0</v>
      </c>
      <c r="E14" s="29" t="s">
        <v>19</v>
      </c>
      <c r="F14" s="24">
        <v>0.08</v>
      </c>
      <c r="G14" s="30" t="s">
        <v>19</v>
      </c>
    </row>
    <row r="15" spans="1:7" x14ac:dyDescent="0.2">
      <c r="A15" s="19" t="s">
        <v>27</v>
      </c>
      <c r="B15" s="32" t="s">
        <v>28</v>
      </c>
      <c r="C15" s="27">
        <v>3</v>
      </c>
      <c r="D15" s="28">
        <v>3490</v>
      </c>
      <c r="E15" s="29" t="s">
        <v>19</v>
      </c>
      <c r="F15" s="24">
        <v>0.08</v>
      </c>
      <c r="G15" s="30" t="s">
        <v>19</v>
      </c>
    </row>
    <row r="16" spans="1:7" x14ac:dyDescent="0.2">
      <c r="A16" s="19" t="s">
        <v>29</v>
      </c>
      <c r="B16" s="32" t="s">
        <v>30</v>
      </c>
      <c r="C16" s="27">
        <v>1</v>
      </c>
      <c r="D16" s="28">
        <v>2084</v>
      </c>
      <c r="E16" s="29" t="s">
        <v>19</v>
      </c>
      <c r="F16" s="24">
        <v>0.08</v>
      </c>
      <c r="G16" s="30" t="s">
        <v>19</v>
      </c>
    </row>
    <row r="17" spans="1:7" x14ac:dyDescent="0.2">
      <c r="A17" s="19" t="s">
        <v>29</v>
      </c>
      <c r="B17" s="32" t="s">
        <v>31</v>
      </c>
      <c r="C17" s="27">
        <v>1</v>
      </c>
      <c r="D17" s="33">
        <v>0</v>
      </c>
      <c r="E17" s="29" t="s">
        <v>19</v>
      </c>
      <c r="F17" s="24">
        <v>0.08</v>
      </c>
      <c r="G17" s="30" t="s">
        <v>19</v>
      </c>
    </row>
    <row r="18" spans="1:7" x14ac:dyDescent="0.2">
      <c r="A18" s="19" t="s">
        <v>32</v>
      </c>
      <c r="B18" s="32" t="s">
        <v>33</v>
      </c>
      <c r="C18" s="27">
        <v>1</v>
      </c>
      <c r="D18" s="33">
        <v>0</v>
      </c>
      <c r="E18" s="29" t="s">
        <v>19</v>
      </c>
      <c r="F18" s="24">
        <v>0.08</v>
      </c>
      <c r="G18" s="30" t="s">
        <v>19</v>
      </c>
    </row>
    <row r="19" spans="1:7" x14ac:dyDescent="0.2">
      <c r="A19" s="19" t="s">
        <v>34</v>
      </c>
      <c r="B19" s="32" t="s">
        <v>35</v>
      </c>
      <c r="C19" s="27">
        <v>1</v>
      </c>
      <c r="D19" s="33">
        <v>0</v>
      </c>
      <c r="E19" s="29" t="s">
        <v>19</v>
      </c>
      <c r="F19" s="24">
        <v>0.08</v>
      </c>
      <c r="G19" s="30" t="s">
        <v>19</v>
      </c>
    </row>
    <row r="20" spans="1:7" x14ac:dyDescent="0.2">
      <c r="A20" s="19" t="s">
        <v>36</v>
      </c>
      <c r="B20" s="32" t="s">
        <v>37</v>
      </c>
      <c r="C20" s="34">
        <v>4</v>
      </c>
      <c r="D20" s="22">
        <v>1192</v>
      </c>
      <c r="E20" s="29" t="s">
        <v>19</v>
      </c>
      <c r="F20" s="24">
        <v>0.08</v>
      </c>
      <c r="G20" s="30" t="s">
        <v>19</v>
      </c>
    </row>
    <row r="21" spans="1:7" x14ac:dyDescent="0.2">
      <c r="A21" s="14" t="s">
        <v>38</v>
      </c>
      <c r="B21" s="15" t="s">
        <v>39</v>
      </c>
      <c r="C21" s="16"/>
      <c r="D21" s="35"/>
      <c r="E21" s="36"/>
      <c r="F21" s="35"/>
      <c r="G21" s="37"/>
    </row>
    <row r="22" spans="1:7" ht="52" customHeight="1" x14ac:dyDescent="0.2">
      <c r="A22" s="19" t="s">
        <v>40</v>
      </c>
      <c r="B22" s="60" t="s">
        <v>116</v>
      </c>
      <c r="C22" s="61">
        <v>8</v>
      </c>
      <c r="D22" s="62">
        <v>30646</v>
      </c>
      <c r="E22" s="22">
        <f>C22*D22</f>
        <v>245168</v>
      </c>
      <c r="F22" s="24">
        <v>0.08</v>
      </c>
      <c r="G22" s="25">
        <f>E22-((F22)*E22)</f>
        <v>225554.56</v>
      </c>
    </row>
    <row r="23" spans="1:7" x14ac:dyDescent="0.2">
      <c r="A23" s="19" t="s">
        <v>41</v>
      </c>
      <c r="B23" s="63" t="s">
        <v>117</v>
      </c>
      <c r="C23" s="64">
        <v>8</v>
      </c>
      <c r="D23" s="65">
        <v>1390</v>
      </c>
      <c r="E23" s="22">
        <f>C23*D23</f>
        <v>11120</v>
      </c>
      <c r="F23" s="24">
        <v>0.08</v>
      </c>
      <c r="G23" s="25">
        <f>E23-((F23)*E23)</f>
        <v>10230.4</v>
      </c>
    </row>
    <row r="24" spans="1:7" x14ac:dyDescent="0.2">
      <c r="A24" s="19" t="s">
        <v>41</v>
      </c>
      <c r="B24" s="66" t="s">
        <v>42</v>
      </c>
      <c r="C24" s="64">
        <v>8</v>
      </c>
      <c r="D24" s="67">
        <v>1090</v>
      </c>
      <c r="E24" s="29" t="s">
        <v>19</v>
      </c>
      <c r="F24" s="24">
        <v>0.08</v>
      </c>
      <c r="G24" s="30" t="s">
        <v>19</v>
      </c>
    </row>
    <row r="25" spans="1:7" x14ac:dyDescent="0.2">
      <c r="A25" s="19" t="s">
        <v>43</v>
      </c>
      <c r="B25" s="60" t="s">
        <v>118</v>
      </c>
      <c r="C25" s="61">
        <v>1</v>
      </c>
      <c r="D25" s="62">
        <v>1145</v>
      </c>
      <c r="E25" s="22">
        <f>C25*D25</f>
        <v>1145</v>
      </c>
      <c r="F25" s="24">
        <v>0.08</v>
      </c>
      <c r="G25" s="25">
        <f>E25-((F25)*E25)</f>
        <v>1053.4000000000001</v>
      </c>
    </row>
    <row r="26" spans="1:7" x14ac:dyDescent="0.2">
      <c r="A26" s="19" t="s">
        <v>44</v>
      </c>
      <c r="B26" s="60" t="s">
        <v>45</v>
      </c>
      <c r="C26" s="61">
        <v>1</v>
      </c>
      <c r="D26" s="68">
        <v>957</v>
      </c>
      <c r="E26" s="29" t="s">
        <v>24</v>
      </c>
      <c r="F26" s="24">
        <v>0.08</v>
      </c>
      <c r="G26" s="30" t="s">
        <v>24</v>
      </c>
    </row>
    <row r="27" spans="1:7" x14ac:dyDescent="0.2">
      <c r="A27" s="19" t="s">
        <v>46</v>
      </c>
      <c r="B27" s="66" t="s">
        <v>119</v>
      </c>
      <c r="C27" s="69">
        <v>0</v>
      </c>
      <c r="D27" s="62">
        <v>542.29999999999995</v>
      </c>
      <c r="E27" s="29" t="s">
        <v>24</v>
      </c>
      <c r="F27" s="24">
        <v>0.08</v>
      </c>
      <c r="G27" s="30" t="s">
        <v>24</v>
      </c>
    </row>
    <row r="28" spans="1:7" x14ac:dyDescent="0.2">
      <c r="A28" s="19" t="s">
        <v>47</v>
      </c>
      <c r="B28" s="66" t="s">
        <v>48</v>
      </c>
      <c r="C28" s="69">
        <v>0</v>
      </c>
      <c r="D28" s="62">
        <v>0</v>
      </c>
      <c r="E28" s="22">
        <f>C28*D28</f>
        <v>0</v>
      </c>
      <c r="F28" s="24">
        <v>0.08</v>
      </c>
      <c r="G28" s="30" t="s">
        <v>24</v>
      </c>
    </row>
    <row r="29" spans="1:7" x14ac:dyDescent="0.2">
      <c r="A29" s="19" t="s">
        <v>49</v>
      </c>
      <c r="B29" s="66" t="s">
        <v>50</v>
      </c>
      <c r="C29" s="64">
        <v>0</v>
      </c>
      <c r="D29" s="70">
        <v>945</v>
      </c>
      <c r="E29" s="22">
        <f>C29*D29</f>
        <v>0</v>
      </c>
      <c r="F29" s="24">
        <v>0.08</v>
      </c>
      <c r="G29" s="25">
        <f>E29-((F29)*E29)</f>
        <v>0</v>
      </c>
    </row>
    <row r="30" spans="1:7" ht="26" x14ac:dyDescent="0.2">
      <c r="A30" s="19" t="s">
        <v>43</v>
      </c>
      <c r="B30" s="66" t="s">
        <v>51</v>
      </c>
      <c r="C30" s="61">
        <v>0</v>
      </c>
      <c r="D30" s="62">
        <v>14250</v>
      </c>
      <c r="E30" s="22">
        <f>C30*D30</f>
        <v>0</v>
      </c>
      <c r="F30" s="24">
        <v>0.08</v>
      </c>
      <c r="G30" s="25">
        <f>E30-((F30)*E30)</f>
        <v>0</v>
      </c>
    </row>
    <row r="31" spans="1:7" ht="17" thickBot="1" x14ac:dyDescent="0.25">
      <c r="A31" s="40" t="s">
        <v>52</v>
      </c>
      <c r="B31" s="41" t="s">
        <v>53</v>
      </c>
      <c r="C31" s="12"/>
      <c r="D31" s="42"/>
      <c r="E31" s="42"/>
      <c r="F31" s="42"/>
      <c r="G31" s="43"/>
    </row>
    <row r="32" spans="1:7" ht="16" customHeight="1" x14ac:dyDescent="0.2">
      <c r="A32" s="19" t="s">
        <v>54</v>
      </c>
      <c r="B32" s="31" t="s">
        <v>55</v>
      </c>
      <c r="C32" s="97" t="s">
        <v>56</v>
      </c>
      <c r="D32" s="98"/>
      <c r="E32" s="98"/>
      <c r="F32" s="98"/>
      <c r="G32" s="99"/>
    </row>
    <row r="33" spans="1:7" x14ac:dyDescent="0.2">
      <c r="A33" s="19" t="s">
        <v>57</v>
      </c>
      <c r="B33" s="31" t="s">
        <v>58</v>
      </c>
      <c r="C33" s="100"/>
      <c r="D33" s="101"/>
      <c r="E33" s="101"/>
      <c r="F33" s="101"/>
      <c r="G33" s="102"/>
    </row>
    <row r="34" spans="1:7" x14ac:dyDescent="0.2">
      <c r="A34" s="19" t="s">
        <v>59</v>
      </c>
      <c r="B34" s="31" t="s">
        <v>60</v>
      </c>
      <c r="C34" s="100"/>
      <c r="D34" s="101"/>
      <c r="E34" s="101"/>
      <c r="F34" s="101"/>
      <c r="G34" s="102"/>
    </row>
    <row r="35" spans="1:7" x14ac:dyDescent="0.2">
      <c r="A35" s="19" t="s">
        <v>61</v>
      </c>
      <c r="B35" s="31" t="s">
        <v>62</v>
      </c>
      <c r="C35" s="100"/>
      <c r="D35" s="101"/>
      <c r="E35" s="101"/>
      <c r="F35" s="101"/>
      <c r="G35" s="102"/>
    </row>
    <row r="36" spans="1:7" x14ac:dyDescent="0.2">
      <c r="A36" s="19" t="s">
        <v>63</v>
      </c>
      <c r="B36" s="31" t="s">
        <v>64</v>
      </c>
      <c r="C36" s="100"/>
      <c r="D36" s="101"/>
      <c r="E36" s="101"/>
      <c r="F36" s="101"/>
      <c r="G36" s="102"/>
    </row>
    <row r="37" spans="1:7" x14ac:dyDescent="0.2">
      <c r="A37" s="19" t="s">
        <v>65</v>
      </c>
      <c r="B37" s="38" t="s">
        <v>66</v>
      </c>
      <c r="C37" s="100"/>
      <c r="D37" s="101"/>
      <c r="E37" s="101"/>
      <c r="F37" s="101"/>
      <c r="G37" s="102"/>
    </row>
    <row r="38" spans="1:7" x14ac:dyDescent="0.2">
      <c r="A38" s="19" t="s">
        <v>67</v>
      </c>
      <c r="B38" s="38" t="s">
        <v>68</v>
      </c>
      <c r="C38" s="100"/>
      <c r="D38" s="101"/>
      <c r="E38" s="101"/>
      <c r="F38" s="101"/>
      <c r="G38" s="102"/>
    </row>
    <row r="39" spans="1:7" x14ac:dyDescent="0.2">
      <c r="A39" s="19" t="s">
        <v>69</v>
      </c>
      <c r="B39" s="38" t="s">
        <v>70</v>
      </c>
      <c r="C39" s="100"/>
      <c r="D39" s="101"/>
      <c r="E39" s="101"/>
      <c r="F39" s="101"/>
      <c r="G39" s="102"/>
    </row>
    <row r="40" spans="1:7" ht="17" thickBot="1" x14ac:dyDescent="0.25">
      <c r="A40" s="19" t="s">
        <v>71</v>
      </c>
      <c r="B40" s="38" t="s">
        <v>72</v>
      </c>
      <c r="C40" s="103"/>
      <c r="D40" s="104"/>
      <c r="E40" s="104"/>
      <c r="F40" s="104"/>
      <c r="G40" s="105"/>
    </row>
    <row r="41" spans="1:7" x14ac:dyDescent="0.2">
      <c r="A41" s="40" t="s">
        <v>73</v>
      </c>
      <c r="B41" s="41" t="s">
        <v>74</v>
      </c>
      <c r="C41" s="12"/>
      <c r="D41" s="12"/>
      <c r="E41" s="12"/>
      <c r="F41" s="12"/>
      <c r="G41" s="13"/>
    </row>
    <row r="42" spans="1:7" x14ac:dyDescent="0.2">
      <c r="A42" s="39" t="s">
        <v>75</v>
      </c>
      <c r="B42" s="31" t="s">
        <v>76</v>
      </c>
      <c r="C42" s="21">
        <v>1</v>
      </c>
      <c r="D42" s="44">
        <v>20600</v>
      </c>
      <c r="E42" s="29" t="s">
        <v>24</v>
      </c>
      <c r="F42" s="24">
        <v>0.08</v>
      </c>
      <c r="G42" s="30" t="s">
        <v>24</v>
      </c>
    </row>
    <row r="43" spans="1:7" x14ac:dyDescent="0.2">
      <c r="A43" s="40" t="s">
        <v>77</v>
      </c>
      <c r="B43" s="41" t="s">
        <v>78</v>
      </c>
      <c r="C43" s="12"/>
      <c r="D43" s="45"/>
      <c r="E43" s="45"/>
      <c r="F43" s="45"/>
      <c r="G43" s="46"/>
    </row>
    <row r="44" spans="1:7" x14ac:dyDescent="0.2">
      <c r="A44" s="39" t="s">
        <v>79</v>
      </c>
      <c r="B44" s="31" t="s">
        <v>80</v>
      </c>
      <c r="C44" s="21">
        <v>1</v>
      </c>
      <c r="D44" s="44">
        <v>16200</v>
      </c>
      <c r="E44" s="22">
        <f>D44*C44</f>
        <v>16200</v>
      </c>
      <c r="F44" s="24">
        <v>0.08</v>
      </c>
      <c r="G44" s="25">
        <f>E44-((F44)*E44)</f>
        <v>14904</v>
      </c>
    </row>
    <row r="45" spans="1:7" x14ac:dyDescent="0.2">
      <c r="A45" s="39" t="s">
        <v>81</v>
      </c>
      <c r="B45" s="32" t="s">
        <v>82</v>
      </c>
      <c r="C45" s="21">
        <v>1</v>
      </c>
      <c r="D45" s="47">
        <v>4910</v>
      </c>
      <c r="E45" s="29" t="s">
        <v>19</v>
      </c>
      <c r="F45" s="24">
        <v>0.08</v>
      </c>
      <c r="G45" s="30" t="s">
        <v>19</v>
      </c>
    </row>
    <row r="46" spans="1:7" x14ac:dyDescent="0.2">
      <c r="A46" s="40" t="s">
        <v>83</v>
      </c>
      <c r="B46" s="41" t="s">
        <v>84</v>
      </c>
      <c r="C46" s="41" t="s">
        <v>85</v>
      </c>
      <c r="D46" s="41" t="s">
        <v>85</v>
      </c>
      <c r="E46" s="41" t="s">
        <v>85</v>
      </c>
      <c r="F46" s="41" t="s">
        <v>85</v>
      </c>
      <c r="G46" s="46"/>
    </row>
    <row r="47" spans="1:7" ht="16" customHeight="1" x14ac:dyDescent="0.2">
      <c r="A47" s="39" t="s">
        <v>86</v>
      </c>
      <c r="B47" s="32" t="s">
        <v>87</v>
      </c>
      <c r="C47" s="21">
        <v>1</v>
      </c>
      <c r="D47" s="44">
        <v>0</v>
      </c>
      <c r="E47" s="106" t="s">
        <v>88</v>
      </c>
      <c r="F47" s="106"/>
      <c r="G47" s="107"/>
    </row>
    <row r="48" spans="1:7" ht="16" customHeight="1" x14ac:dyDescent="0.2">
      <c r="A48" s="39" t="s">
        <v>89</v>
      </c>
      <c r="B48" s="32" t="s">
        <v>90</v>
      </c>
      <c r="C48" s="21">
        <v>1</v>
      </c>
      <c r="D48" s="44">
        <v>0</v>
      </c>
      <c r="E48" s="108" t="s">
        <v>88</v>
      </c>
      <c r="F48" s="108"/>
      <c r="G48" s="109"/>
    </row>
    <row r="49" spans="1:7" ht="17" thickBot="1" x14ac:dyDescent="0.25">
      <c r="A49" s="40" t="s">
        <v>91</v>
      </c>
      <c r="B49" s="41" t="s">
        <v>92</v>
      </c>
      <c r="C49" s="12"/>
      <c r="D49" s="48"/>
      <c r="E49" s="48"/>
      <c r="F49" s="48"/>
      <c r="G49" s="46"/>
    </row>
    <row r="50" spans="1:7" ht="16" customHeight="1" x14ac:dyDescent="0.2">
      <c r="A50" s="39" t="s">
        <v>93</v>
      </c>
      <c r="B50" s="31" t="s">
        <v>94</v>
      </c>
      <c r="C50" s="49">
        <v>1</v>
      </c>
      <c r="D50" s="97" t="s">
        <v>95</v>
      </c>
      <c r="E50" s="98"/>
      <c r="F50" s="98"/>
      <c r="G50" s="99"/>
    </row>
    <row r="51" spans="1:7" x14ac:dyDescent="0.2">
      <c r="A51" s="39" t="s">
        <v>96</v>
      </c>
      <c r="B51" s="31" t="s">
        <v>97</v>
      </c>
      <c r="C51" s="49">
        <v>1</v>
      </c>
      <c r="D51" s="100"/>
      <c r="E51" s="101"/>
      <c r="F51" s="101"/>
      <c r="G51" s="102"/>
    </row>
    <row r="52" spans="1:7" x14ac:dyDescent="0.2">
      <c r="A52" s="40" t="s">
        <v>98</v>
      </c>
      <c r="B52" s="41" t="s">
        <v>99</v>
      </c>
      <c r="C52" s="49" t="s">
        <v>100</v>
      </c>
      <c r="D52" s="110" t="s">
        <v>101</v>
      </c>
      <c r="E52" s="111"/>
      <c r="F52" s="111"/>
      <c r="G52" s="112"/>
    </row>
    <row r="53" spans="1:7" ht="16" customHeight="1" x14ac:dyDescent="0.2">
      <c r="A53" s="40" t="s">
        <v>102</v>
      </c>
      <c r="B53" s="41" t="s">
        <v>103</v>
      </c>
      <c r="C53" s="49" t="s">
        <v>100</v>
      </c>
      <c r="D53" s="110" t="s">
        <v>104</v>
      </c>
      <c r="E53" s="111"/>
      <c r="F53" s="111"/>
      <c r="G53" s="112"/>
    </row>
    <row r="54" spans="1:7" ht="17" customHeight="1" thickBot="1" x14ac:dyDescent="0.25">
      <c r="A54" s="50" t="s">
        <v>105</v>
      </c>
      <c r="B54" s="51" t="s">
        <v>106</v>
      </c>
      <c r="C54" s="52" t="s">
        <v>100</v>
      </c>
      <c r="D54" s="113" t="s">
        <v>107</v>
      </c>
      <c r="E54" s="114"/>
      <c r="F54" s="114"/>
      <c r="G54" s="115"/>
    </row>
    <row r="55" spans="1:7" ht="18" thickTop="1" thickBot="1" x14ac:dyDescent="0.25">
      <c r="A55" s="84"/>
      <c r="B55" s="85"/>
      <c r="C55" s="86" t="s">
        <v>108</v>
      </c>
      <c r="D55" s="87"/>
      <c r="E55" s="53">
        <f>SUM(E5:E54)</f>
        <v>276006.59999999998</v>
      </c>
      <c r="F55" s="54" t="s">
        <v>109</v>
      </c>
      <c r="G55" s="53">
        <f>E55-G56</f>
        <v>22080.527999999991</v>
      </c>
    </row>
    <row r="56" spans="1:7" ht="27" thickTop="1" x14ac:dyDescent="0.2">
      <c r="A56" s="55"/>
      <c r="B56" s="56" t="s">
        <v>110</v>
      </c>
      <c r="C56" s="71" t="s">
        <v>111</v>
      </c>
      <c r="D56" s="72"/>
      <c r="E56" s="72"/>
      <c r="F56" s="73"/>
      <c r="G56" s="77">
        <f>SUM(G5:G54)</f>
        <v>253926.07199999999</v>
      </c>
    </row>
    <row r="57" spans="1:7" ht="17" thickBot="1" x14ac:dyDescent="0.25">
      <c r="A57" s="57"/>
      <c r="B57" s="56" t="s">
        <v>112</v>
      </c>
      <c r="C57" s="74"/>
      <c r="D57" s="75"/>
      <c r="E57" s="75"/>
      <c r="F57" s="76"/>
      <c r="G57" s="78"/>
    </row>
    <row r="58" spans="1:7" ht="17" thickTop="1" x14ac:dyDescent="0.2">
      <c r="A58" s="57"/>
      <c r="B58" s="56" t="s">
        <v>113</v>
      </c>
      <c r="C58" s="56"/>
      <c r="D58" s="79"/>
      <c r="E58" s="79"/>
      <c r="F58" s="31"/>
      <c r="G58" s="58"/>
    </row>
    <row r="59" spans="1:7" x14ac:dyDescent="0.2">
      <c r="A59" s="57"/>
      <c r="B59" s="56" t="s">
        <v>114</v>
      </c>
      <c r="C59" s="80"/>
      <c r="D59" s="80"/>
      <c r="E59" s="31"/>
      <c r="F59" s="31"/>
      <c r="G59" s="59"/>
    </row>
    <row r="60" spans="1:7" ht="17" customHeight="1" thickBot="1" x14ac:dyDescent="0.25">
      <c r="A60" s="81" t="s">
        <v>115</v>
      </c>
      <c r="B60" s="82"/>
      <c r="C60" s="82"/>
      <c r="D60" s="82"/>
      <c r="E60" s="82"/>
      <c r="F60" s="82"/>
      <c r="G60" s="83"/>
    </row>
    <row r="61" spans="1:7" ht="17" thickTop="1" x14ac:dyDescent="0.2"/>
  </sheetData>
  <mergeCells count="18">
    <mergeCell ref="A55:B55"/>
    <mergeCell ref="C55:D55"/>
    <mergeCell ref="A1:G1"/>
    <mergeCell ref="A2:E2"/>
    <mergeCell ref="F2:G2"/>
    <mergeCell ref="A3:B3"/>
    <mergeCell ref="C32:G40"/>
    <mergeCell ref="E47:G47"/>
    <mergeCell ref="E48:G48"/>
    <mergeCell ref="D50:G51"/>
    <mergeCell ref="D52:G52"/>
    <mergeCell ref="D53:G53"/>
    <mergeCell ref="D54:G54"/>
    <mergeCell ref="C56:F57"/>
    <mergeCell ref="G56:G57"/>
    <mergeCell ref="D58:E58"/>
    <mergeCell ref="C59:D59"/>
    <mergeCell ref="A60:G60"/>
  </mergeCells>
  <conditionalFormatting sqref="A33:B40">
    <cfRule type="expression" dxfId="24" priority="39">
      <formula>0</formula>
    </cfRule>
  </conditionalFormatting>
  <conditionalFormatting sqref="A22:D30">
    <cfRule type="expression" dxfId="23" priority="1">
      <formula>0</formula>
    </cfRule>
  </conditionalFormatting>
  <conditionalFormatting sqref="A1:G7 A8:B21 A31:G31 A32:C32 A49:G49 A50:C51 A52:G55 C56 G56:G57 A56:A58 B58:G58 A59:G60">
    <cfRule type="expression" dxfId="22" priority="44">
      <formula>0</formula>
    </cfRule>
  </conditionalFormatting>
  <conditionalFormatting sqref="A41:G46 A47:E48">
    <cfRule type="expression" dxfId="21" priority="41">
      <formula>0</formula>
    </cfRule>
  </conditionalFormatting>
  <conditionalFormatting sqref="B56:B57">
    <cfRule type="expression" dxfId="20" priority="43">
      <formula>0</formula>
    </cfRule>
  </conditionalFormatting>
  <conditionalFormatting sqref="C50:C51 C42:E42 E8:E20">
    <cfRule type="cellIs" dxfId="19" priority="62" operator="equal">
      <formula>0</formula>
    </cfRule>
  </conditionalFormatting>
  <conditionalFormatting sqref="C8:D13 C14 C15:D16 C17:C20 C21:D21">
    <cfRule type="expression" dxfId="18" priority="22">
      <formula>0</formula>
    </cfRule>
  </conditionalFormatting>
  <conditionalFormatting sqref="C8:D13 C14 C15:D16 C17:C20">
    <cfRule type="cellIs" dxfId="17" priority="29" operator="equal">
      <formula>0</formula>
    </cfRule>
  </conditionalFormatting>
  <conditionalFormatting sqref="C22:D30">
    <cfRule type="cellIs" dxfId="16" priority="14" operator="equal">
      <formula>0</formula>
    </cfRule>
  </conditionalFormatting>
  <conditionalFormatting sqref="C44:E48">
    <cfRule type="cellIs" dxfId="13" priority="42" operator="equal">
      <formula>0</formula>
    </cfRule>
  </conditionalFormatting>
  <conditionalFormatting sqref="D50">
    <cfRule type="expression" dxfId="12" priority="40">
      <formula>0</formula>
    </cfRule>
  </conditionalFormatting>
  <conditionalFormatting sqref="E22:E30">
    <cfRule type="cellIs" dxfId="11" priority="38" operator="equal">
      <formula>0</formula>
    </cfRule>
  </conditionalFormatting>
  <conditionalFormatting sqref="E8:G30">
    <cfRule type="expression" dxfId="9" priority="37">
      <formula>0</formula>
    </cfRule>
  </conditionalFormatting>
  <conditionalFormatting sqref="G10:G11">
    <cfRule type="cellIs" dxfId="8" priority="61" operator="equal">
      <formula>0</formula>
    </cfRule>
  </conditionalFormatting>
  <conditionalFormatting sqref="G13">
    <cfRule type="cellIs" dxfId="7" priority="60" operator="equal">
      <formula>0</formula>
    </cfRule>
  </conditionalFormatting>
  <conditionalFormatting sqref="G14:G20">
    <cfRule type="cellIs" dxfId="6" priority="35" operator="equal">
      <formula>0</formula>
    </cfRule>
  </conditionalFormatting>
  <conditionalFormatting sqref="G23:G24">
    <cfRule type="cellIs" dxfId="5" priority="59" operator="equal">
      <formula>0</formula>
    </cfRule>
  </conditionalFormatting>
  <conditionalFormatting sqref="G24">
    <cfRule type="cellIs" dxfId="4" priority="34" operator="equal">
      <formula>0</formula>
    </cfRule>
  </conditionalFormatting>
  <conditionalFormatting sqref="G26:G28">
    <cfRule type="cellIs" dxfId="3" priority="56" operator="equal">
      <formula>0</formula>
    </cfRule>
  </conditionalFormatting>
  <conditionalFormatting sqref="G42">
    <cfRule type="cellIs" dxfId="1" priority="30" operator="equal">
      <formula>0</formula>
    </cfRule>
  </conditionalFormatting>
  <conditionalFormatting sqref="G45">
    <cfRule type="cellIs" dxfId="0" priority="3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karakaya</cp:lastModifiedBy>
  <dcterms:created xsi:type="dcterms:W3CDTF">2026-06-29T10:53:24Z</dcterms:created>
  <dcterms:modified xsi:type="dcterms:W3CDTF">2026-06-29T13:00:18Z</dcterms:modified>
</cp:coreProperties>
</file>